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ureka\course-IITG-ACPAI\03-Supervised Machine Learning\05-Decision Tree and Random Forest Models\"/>
    </mc:Choice>
  </mc:AlternateContent>
  <xr:revisionPtr revIDLastSave="0" documentId="13_ncr:1_{A39B3703-7DE8-4305-A14C-D61CE3E35BE2}" xr6:coauthVersionLast="47" xr6:coauthVersionMax="47" xr10:uidLastSave="{00000000-0000-0000-0000-000000000000}"/>
  <bookViews>
    <workbookView xWindow="-120" yWindow="-120" windowWidth="19440" windowHeight="11790" xr2:uid="{A23986AA-C656-451C-822A-B4A0C6D91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1" l="1"/>
  <c r="T2" i="1"/>
  <c r="P7" i="1"/>
  <c r="M7" i="1"/>
  <c r="J7" i="1"/>
  <c r="M2" i="1"/>
</calcChain>
</file>

<file path=xl/sharedStrings.xml><?xml version="1.0" encoding="utf-8"?>
<sst xmlns="http://schemas.openxmlformats.org/spreadsheetml/2006/main" count="104" uniqueCount="37">
  <si>
    <t>X</t>
  </si>
  <si>
    <t>y</t>
  </si>
  <si>
    <t>Sno</t>
  </si>
  <si>
    <t>outlook</t>
  </si>
  <si>
    <t>temp</t>
  </si>
  <si>
    <t>humidity</t>
  </si>
  <si>
    <t>windy</t>
  </si>
  <si>
    <t>play?</t>
  </si>
  <si>
    <t>overcast</t>
  </si>
  <si>
    <t>hot</t>
  </si>
  <si>
    <t>high</t>
  </si>
  <si>
    <t>false</t>
  </si>
  <si>
    <t>yes</t>
  </si>
  <si>
    <t>cool</t>
  </si>
  <si>
    <t>normal</t>
  </si>
  <si>
    <t>true</t>
  </si>
  <si>
    <t>mild</t>
  </si>
  <si>
    <t>rainy</t>
  </si>
  <si>
    <t>no</t>
  </si>
  <si>
    <t>sunny</t>
  </si>
  <si>
    <t>9Y, 5N</t>
  </si>
  <si>
    <t>2Y, 3N</t>
  </si>
  <si>
    <t>4Y, 0N</t>
  </si>
  <si>
    <t>3Y, 2N</t>
  </si>
  <si>
    <t>Level 0</t>
  </si>
  <si>
    <t>Level 1</t>
  </si>
  <si>
    <t>Gini impurity</t>
  </si>
  <si>
    <t>1 - P(Y)^2 - P(N)^2</t>
  </si>
  <si>
    <t>Weighted Impurity</t>
  </si>
  <si>
    <t>0 to 0.5</t>
  </si>
  <si>
    <t>0Y,3N</t>
  </si>
  <si>
    <t>2Y,0N</t>
  </si>
  <si>
    <t>3Y, 0N</t>
  </si>
  <si>
    <t>0Y, 2N</t>
  </si>
  <si>
    <t>Level 2</t>
  </si>
  <si>
    <t>Entropy</t>
  </si>
  <si>
    <t>-P(Y)ln(P(Y)) - P(N)ln(P(N))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</si>
</sst>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/>
    <xf numFmtId="0" fontId="0" fillId="3" borderId="1" xfId="0" applyFill="1" applyBorder="1"/>
    <xf numFmtId="0" fontId="0" fillId="0" borderId="1" xfId="0" applyBorder="1"/>
    <xf numFmtId="49" fontId="0" fillId="0" borderId="1" xfId="0" applyNumberFormat="1" applyBorder="1"/>
    <xf numFmtId="49" fontId="0" fillId="0" borderId="1" xfId="0" quotePrefix="1" applyNumberForma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0" fillId="6" borderId="1" xfId="0" applyFill="1" applyBorder="1" applyAlignment="1">
      <alignment horizontal="center"/>
    </xf>
    <xf numFmtId="49" fontId="0" fillId="4" borderId="1" xfId="0" applyNumberFormat="1" applyFill="1" applyBorder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2</xdr:row>
      <xdr:rowOff>180975</xdr:rowOff>
    </xdr:from>
    <xdr:to>
      <xdr:col>12</xdr:col>
      <xdr:colOff>314325</xdr:colOff>
      <xdr:row>4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9D0567F-3AD2-6C63-3B0E-BF22A9E3C36A}"/>
            </a:ext>
          </a:extLst>
        </xdr:cNvPr>
        <xdr:cNvCxnSpPr/>
      </xdr:nvCxnSpPr>
      <xdr:spPr>
        <a:xfrm>
          <a:off x="6724650" y="5715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3</xdr:row>
      <xdr:rowOff>9525</xdr:rowOff>
    </xdr:from>
    <xdr:to>
      <xdr:col>12</xdr:col>
      <xdr:colOff>123825</xdr:colOff>
      <xdr:row>4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F29C713-5692-4893-806A-A0AB58CCE965}"/>
            </a:ext>
          </a:extLst>
        </xdr:cNvPr>
        <xdr:cNvCxnSpPr/>
      </xdr:nvCxnSpPr>
      <xdr:spPr>
        <a:xfrm flipH="1">
          <a:off x="4876800" y="590550"/>
          <a:ext cx="16573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438150</xdr:colOff>
      <xdr:row>3</xdr:row>
      <xdr:rowOff>0</xdr:rowOff>
    </xdr:from>
    <xdr:to>
      <xdr:col>15</xdr:col>
      <xdr:colOff>295275</xdr:colOff>
      <xdr:row>4</xdr:row>
      <xdr:rowOff>180975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3A75475-3C2D-45D5-8BA7-FB29DD273BBF}"/>
            </a:ext>
          </a:extLst>
        </xdr:cNvPr>
        <xdr:cNvCxnSpPr/>
      </xdr:nvCxnSpPr>
      <xdr:spPr>
        <a:xfrm>
          <a:off x="6848475" y="581025"/>
          <a:ext cx="1685925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8</xdr:row>
      <xdr:rowOff>9525</xdr:rowOff>
    </xdr:from>
    <xdr:to>
      <xdr:col>9</xdr:col>
      <xdr:colOff>285750</xdr:colOff>
      <xdr:row>9</xdr:row>
      <xdr:rowOff>180975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7768C9D-BEAD-4907-B00E-970287BF0974}"/>
            </a:ext>
          </a:extLst>
        </xdr:cNvPr>
        <xdr:cNvCxnSpPr/>
      </xdr:nvCxnSpPr>
      <xdr:spPr>
        <a:xfrm flipH="1">
          <a:off x="4200525" y="1543050"/>
          <a:ext cx="6667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8</xdr:row>
      <xdr:rowOff>38100</xdr:rowOff>
    </xdr:from>
    <xdr:to>
      <xdr:col>10</xdr:col>
      <xdr:colOff>371475</xdr:colOff>
      <xdr:row>9</xdr:row>
      <xdr:rowOff>180975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D1C75A6-2EB9-40F6-A8FA-DF39BD1FCEED}"/>
            </a:ext>
          </a:extLst>
        </xdr:cNvPr>
        <xdr:cNvCxnSpPr/>
      </xdr:nvCxnSpPr>
      <xdr:spPr>
        <a:xfrm>
          <a:off x="4962525" y="1571625"/>
          <a:ext cx="60007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200025</xdr:colOff>
      <xdr:row>7</xdr:row>
      <xdr:rowOff>180975</xdr:rowOff>
    </xdr:from>
    <xdr:to>
      <xdr:col>15</xdr:col>
      <xdr:colOff>257175</xdr:colOff>
      <xdr:row>9</xdr:row>
      <xdr:rowOff>161925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ED2B498-5C30-4A31-917C-E3A9F69FC9CB}"/>
            </a:ext>
          </a:extLst>
        </xdr:cNvPr>
        <xdr:cNvCxnSpPr/>
      </xdr:nvCxnSpPr>
      <xdr:spPr>
        <a:xfrm flipH="1">
          <a:off x="7829550" y="1524000"/>
          <a:ext cx="6667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8</xdr:row>
      <xdr:rowOff>19050</xdr:rowOff>
    </xdr:from>
    <xdr:to>
      <xdr:col>16</xdr:col>
      <xdr:colOff>342900</xdr:colOff>
      <xdr:row>9</xdr:row>
      <xdr:rowOff>161925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570B6C2-4E02-4FAD-9DAD-224DFD6019C1}"/>
            </a:ext>
          </a:extLst>
        </xdr:cNvPr>
        <xdr:cNvCxnSpPr/>
      </xdr:nvCxnSpPr>
      <xdr:spPr>
        <a:xfrm>
          <a:off x="8591550" y="1552575"/>
          <a:ext cx="60007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8950-D5CB-4C5B-A42E-A4603D6D67C7}">
  <dimension ref="A1:T24"/>
  <sheetViews>
    <sheetView tabSelected="1" workbookViewId="0">
      <selection activeCell="O15" sqref="O15"/>
    </sheetView>
  </sheetViews>
  <sheetFormatPr defaultRowHeight="15" x14ac:dyDescent="0.25"/>
  <cols>
    <col min="1" max="1" width="4.42578125" customWidth="1"/>
    <col min="2" max="2" width="8.42578125" bestFit="1" customWidth="1"/>
    <col min="3" max="3" width="7.28515625" customWidth="1"/>
    <col min="4" max="4" width="9" bestFit="1" customWidth="1"/>
    <col min="5" max="5" width="6.42578125" bestFit="1" customWidth="1"/>
    <col min="6" max="6" width="5.7109375" bestFit="1" customWidth="1"/>
    <col min="20" max="20" width="9.140625" style="13"/>
  </cols>
  <sheetData>
    <row r="1" spans="1:20" ht="15.75" x14ac:dyDescent="0.25">
      <c r="A1" s="1"/>
      <c r="B1" s="11" t="s">
        <v>0</v>
      </c>
      <c r="C1" s="11"/>
      <c r="D1" s="11"/>
      <c r="E1" s="11"/>
      <c r="F1" s="2" t="s">
        <v>1</v>
      </c>
      <c r="M1" s="8" t="s">
        <v>20</v>
      </c>
      <c r="T1" s="13" t="s">
        <v>28</v>
      </c>
    </row>
    <row r="2" spans="1:20" x14ac:dyDescent="0.25">
      <c r="A2" s="1" t="s">
        <v>2</v>
      </c>
      <c r="B2" s="1" t="s">
        <v>3</v>
      </c>
      <c r="C2" s="1" t="s">
        <v>4</v>
      </c>
      <c r="D2" s="1" t="s">
        <v>5</v>
      </c>
      <c r="E2" s="3" t="s">
        <v>6</v>
      </c>
      <c r="F2" s="1" t="s">
        <v>7</v>
      </c>
      <c r="H2" t="s">
        <v>24</v>
      </c>
      <c r="M2" s="9">
        <f xml:space="preserve"> 1 - (9/14)^2 - (5/14)^2</f>
        <v>0.45918367346938771</v>
      </c>
      <c r="T2" s="13">
        <f>M2</f>
        <v>0.45918367346938771</v>
      </c>
    </row>
    <row r="3" spans="1:20" x14ac:dyDescent="0.25">
      <c r="A3" s="4">
        <v>3</v>
      </c>
      <c r="B3" s="5" t="s">
        <v>8</v>
      </c>
      <c r="C3" s="5" t="s">
        <v>9</v>
      </c>
      <c r="D3" s="5" t="s">
        <v>10</v>
      </c>
      <c r="E3" s="6" t="s">
        <v>11</v>
      </c>
      <c r="F3" s="5" t="s">
        <v>12</v>
      </c>
      <c r="M3" s="10" t="s">
        <v>3</v>
      </c>
    </row>
    <row r="4" spans="1:20" x14ac:dyDescent="0.25">
      <c r="A4" s="4">
        <v>7</v>
      </c>
      <c r="B4" s="5" t="s">
        <v>8</v>
      </c>
      <c r="C4" s="5" t="s">
        <v>13</v>
      </c>
      <c r="D4" s="5" t="s">
        <v>14</v>
      </c>
      <c r="E4" s="6" t="s">
        <v>15</v>
      </c>
      <c r="F4" s="5" t="s">
        <v>12</v>
      </c>
      <c r="L4" t="s">
        <v>19</v>
      </c>
      <c r="M4" t="s">
        <v>8</v>
      </c>
      <c r="N4" s="12" t="s">
        <v>17</v>
      </c>
    </row>
    <row r="5" spans="1:20" x14ac:dyDescent="0.25">
      <c r="A5" s="4">
        <v>12</v>
      </c>
      <c r="B5" s="5" t="s">
        <v>8</v>
      </c>
      <c r="C5" s="5" t="s">
        <v>16</v>
      </c>
      <c r="D5" s="5" t="s">
        <v>10</v>
      </c>
      <c r="E5" s="6" t="s">
        <v>15</v>
      </c>
      <c r="F5" s="5" t="s">
        <v>12</v>
      </c>
    </row>
    <row r="6" spans="1:20" x14ac:dyDescent="0.25">
      <c r="A6" s="4">
        <v>13</v>
      </c>
      <c r="B6" s="5" t="s">
        <v>8</v>
      </c>
      <c r="C6" s="5" t="s">
        <v>9</v>
      </c>
      <c r="D6" s="5" t="s">
        <v>14</v>
      </c>
      <c r="E6" s="6" t="s">
        <v>11</v>
      </c>
      <c r="F6" s="5" t="s">
        <v>12</v>
      </c>
      <c r="J6" s="8" t="s">
        <v>21</v>
      </c>
      <c r="M6" s="8" t="s">
        <v>22</v>
      </c>
      <c r="P6" s="8" t="s">
        <v>23</v>
      </c>
    </row>
    <row r="7" spans="1:20" x14ac:dyDescent="0.25">
      <c r="A7" s="4">
        <v>4</v>
      </c>
      <c r="B7" s="9" t="s">
        <v>17</v>
      </c>
      <c r="C7" s="9" t="s">
        <v>16</v>
      </c>
      <c r="D7" s="9" t="s">
        <v>10</v>
      </c>
      <c r="E7" s="16" t="s">
        <v>11</v>
      </c>
      <c r="F7" s="9" t="s">
        <v>12</v>
      </c>
      <c r="H7" t="s">
        <v>25</v>
      </c>
      <c r="J7" s="9">
        <f>1 - (2/5)^2 - (3/5)^2</f>
        <v>0.48</v>
      </c>
      <c r="M7" s="9">
        <f>1 - (4/4)^2 - (0/4)^2</f>
        <v>0</v>
      </c>
      <c r="P7" s="9">
        <f xml:space="preserve"> 1 - (3/5)^2 - (2/5)^2</f>
        <v>0.48</v>
      </c>
      <c r="T7" s="13">
        <f>(J7*5+M7*4+P7*5)/14</f>
        <v>0.34285714285714286</v>
      </c>
    </row>
    <row r="8" spans="1:20" x14ac:dyDescent="0.25">
      <c r="A8" s="4">
        <v>5</v>
      </c>
      <c r="B8" s="9" t="s">
        <v>17</v>
      </c>
      <c r="C8" s="9" t="s">
        <v>13</v>
      </c>
      <c r="D8" s="9" t="s">
        <v>14</v>
      </c>
      <c r="E8" s="16" t="s">
        <v>11</v>
      </c>
      <c r="F8" s="9" t="s">
        <v>12</v>
      </c>
      <c r="J8" s="10" t="s">
        <v>5</v>
      </c>
      <c r="M8" s="15"/>
      <c r="P8" s="10" t="s">
        <v>6</v>
      </c>
    </row>
    <row r="9" spans="1:20" x14ac:dyDescent="0.25">
      <c r="A9" s="4">
        <v>6</v>
      </c>
      <c r="B9" s="9" t="s">
        <v>17</v>
      </c>
      <c r="C9" s="9" t="s">
        <v>13</v>
      </c>
      <c r="D9" s="9" t="s">
        <v>14</v>
      </c>
      <c r="E9" s="16" t="s">
        <v>15</v>
      </c>
      <c r="F9" s="9" t="s">
        <v>18</v>
      </c>
      <c r="I9" s="12" t="s">
        <v>10</v>
      </c>
      <c r="K9" t="s">
        <v>14</v>
      </c>
    </row>
    <row r="10" spans="1:20" x14ac:dyDescent="0.25">
      <c r="A10" s="4">
        <v>10</v>
      </c>
      <c r="B10" s="9" t="s">
        <v>17</v>
      </c>
      <c r="C10" s="9" t="s">
        <v>16</v>
      </c>
      <c r="D10" s="9" t="s">
        <v>14</v>
      </c>
      <c r="E10" s="16" t="s">
        <v>11</v>
      </c>
      <c r="F10" s="9" t="s">
        <v>12</v>
      </c>
      <c r="O10" t="b">
        <v>1</v>
      </c>
      <c r="Q10" t="b">
        <v>0</v>
      </c>
    </row>
    <row r="11" spans="1:20" x14ac:dyDescent="0.25">
      <c r="A11" s="4">
        <v>14</v>
      </c>
      <c r="B11" s="9" t="s">
        <v>17</v>
      </c>
      <c r="C11" s="9" t="s">
        <v>16</v>
      </c>
      <c r="D11" s="9" t="s">
        <v>10</v>
      </c>
      <c r="E11" s="16" t="s">
        <v>15</v>
      </c>
      <c r="F11" s="9" t="s">
        <v>18</v>
      </c>
      <c r="I11" s="8" t="s">
        <v>30</v>
      </c>
      <c r="K11" s="8" t="s">
        <v>31</v>
      </c>
      <c r="O11" s="8" t="s">
        <v>33</v>
      </c>
      <c r="Q11" s="8" t="s">
        <v>32</v>
      </c>
    </row>
    <row r="12" spans="1:20" x14ac:dyDescent="0.25">
      <c r="A12" s="4">
        <v>1</v>
      </c>
      <c r="B12" s="5" t="s">
        <v>19</v>
      </c>
      <c r="C12" s="5" t="s">
        <v>9</v>
      </c>
      <c r="D12" s="5" t="s">
        <v>10</v>
      </c>
      <c r="E12" s="7" t="s">
        <v>11</v>
      </c>
      <c r="F12" s="5" t="s">
        <v>18</v>
      </c>
      <c r="H12" t="s">
        <v>34</v>
      </c>
      <c r="I12" s="9">
        <v>0</v>
      </c>
      <c r="K12" s="9">
        <v>0</v>
      </c>
      <c r="O12" s="9">
        <v>0</v>
      </c>
      <c r="Q12" s="9">
        <v>0</v>
      </c>
      <c r="T12" s="13">
        <v>0</v>
      </c>
    </row>
    <row r="13" spans="1:20" x14ac:dyDescent="0.25">
      <c r="A13" s="4">
        <v>2</v>
      </c>
      <c r="B13" s="5" t="s">
        <v>19</v>
      </c>
      <c r="C13" s="5" t="s">
        <v>9</v>
      </c>
      <c r="D13" s="5" t="s">
        <v>10</v>
      </c>
      <c r="E13" s="7" t="s">
        <v>15</v>
      </c>
      <c r="F13" s="5" t="s">
        <v>18</v>
      </c>
      <c r="I13" s="15"/>
      <c r="K13" s="15"/>
      <c r="O13" s="15"/>
      <c r="Q13" s="15"/>
    </row>
    <row r="14" spans="1:20" x14ac:dyDescent="0.25">
      <c r="A14" s="4">
        <v>8</v>
      </c>
      <c r="B14" s="5" t="s">
        <v>19</v>
      </c>
      <c r="C14" s="5" t="s">
        <v>16</v>
      </c>
      <c r="D14" s="5" t="s">
        <v>10</v>
      </c>
      <c r="E14" s="6" t="s">
        <v>11</v>
      </c>
      <c r="F14" s="5" t="s">
        <v>18</v>
      </c>
    </row>
    <row r="15" spans="1:20" x14ac:dyDescent="0.25">
      <c r="A15" s="4">
        <v>9</v>
      </c>
      <c r="B15" s="5" t="s">
        <v>19</v>
      </c>
      <c r="C15" s="5" t="s">
        <v>13</v>
      </c>
      <c r="D15" s="5" t="s">
        <v>14</v>
      </c>
      <c r="E15" s="6" t="s">
        <v>11</v>
      </c>
      <c r="F15" s="5" t="s">
        <v>12</v>
      </c>
    </row>
    <row r="16" spans="1:20" x14ac:dyDescent="0.25">
      <c r="A16" s="4">
        <v>11</v>
      </c>
      <c r="B16" s="5" t="s">
        <v>19</v>
      </c>
      <c r="C16" s="5" t="s">
        <v>16</v>
      </c>
      <c r="D16" s="5" t="s">
        <v>14</v>
      </c>
      <c r="E16" s="6" t="s">
        <v>15</v>
      </c>
      <c r="F16" s="5" t="s">
        <v>12</v>
      </c>
    </row>
    <row r="18" spans="1:20" x14ac:dyDescent="0.25">
      <c r="T18" s="13">
        <v>0.1045</v>
      </c>
    </row>
    <row r="19" spans="1:20" ht="18.75" x14ac:dyDescent="0.3">
      <c r="A19" s="13" t="s">
        <v>29</v>
      </c>
      <c r="B19" s="13" t="s">
        <v>26</v>
      </c>
      <c r="D19" s="14" t="s">
        <v>27</v>
      </c>
    </row>
    <row r="20" spans="1:20" ht="18.75" x14ac:dyDescent="0.3">
      <c r="B20" s="13" t="s">
        <v>35</v>
      </c>
      <c r="D20" s="17" t="s">
        <v>36</v>
      </c>
    </row>
    <row r="22" spans="1:20" x14ac:dyDescent="0.25">
      <c r="I22" s="8" t="s">
        <v>21</v>
      </c>
    </row>
    <row r="23" spans="1:20" x14ac:dyDescent="0.25">
      <c r="I23" s="9">
        <v>0.48</v>
      </c>
    </row>
    <row r="24" spans="1:20" x14ac:dyDescent="0.25">
      <c r="I24" s="10"/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mayank</cp:lastModifiedBy>
  <dcterms:created xsi:type="dcterms:W3CDTF">2023-09-02T01:31:32Z</dcterms:created>
  <dcterms:modified xsi:type="dcterms:W3CDTF">2023-09-03T05:31:15Z</dcterms:modified>
</cp:coreProperties>
</file>